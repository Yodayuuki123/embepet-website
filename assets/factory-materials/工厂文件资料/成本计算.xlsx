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58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<sst xmlns="http://schemas.openxmlformats.org/spreadsheetml/2006/main" count="20" uniqueCount="20">
  <si>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 xml:space="preserve">1.算出1kg含量：
例如每颗2.5g（2500mg),洋甘菊需要含60mg/2500mg=0.024mg=2.4%。1kg里含洋甘菊24g：1000*0.024=24g
2.看原料购买百分比算加料量：24g/原料百分比（问原料商）*损耗
例：添加24g/90%（原料百分比）=26.667g*损耗
3.计算成本：
原料成本*1.2（人工水电）+包材（2元）/（0.5-0.8）
</t>
  </si>
  <si>
    <t>损耗计算</t>
  </si>
  <si>
    <t>名称</t>
  </si>
  <si>
    <t>添加克数</t>
  </si>
  <si>
    <t>原料百分比</t>
  </si>
  <si>
    <t>损耗</t>
  </si>
  <si>
    <t>实际添加克数</t>
  </si>
  <si>
    <t>单价(元/克)</t>
  </si>
  <si>
    <t>维生素b1</t>
  </si>
  <si>
    <t>维生素b2</t>
  </si>
  <si>
    <t>维生素B6</t>
  </si>
  <si>
    <t>二甲基砜</t>
  </si>
  <si>
    <t>氨糖</t>
  </si>
  <si>
    <t>硫酸软骨素</t>
  </si>
  <si>
    <t>辅酶Q10</t>
  </si>
  <si>
    <t>维生素C</t>
  </si>
  <si>
    <t>干酪乳杆菌、嗜酸乳杆菌、植</t>
  </si>
  <si>
    <t>维生素B12</t>
  </si>
  <si>
    <t>辅料价格</t>
  </si>
  <si>
    <t>成本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</si>
</sst>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.00_);[Red]\(0.00\)"/>
  </numFmts>
  <fonts count="22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10" applyNumberFormat="0" applyAlignment="0" applyProtection="0">
      <alignment vertical="center"/>
    </xf>
    <xf numFmtId="0" fontId="12" fillId="9" borderId="11" applyNumberFormat="0" applyAlignment="0" applyProtection="0">
      <alignment vertical="center"/>
    </xf>
    <xf numFmtId="0" fontId="13" fillId="9" borderId="10" applyNumberFormat="0" applyAlignment="0" applyProtection="0">
      <alignment vertical="center"/>
    </xf>
    <xf numFmtId="0" fontId="14" fillId="10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176" fontId="1" fillId="4" borderId="0" xfId="0" applyNumberFormat="1" applyFont="1" applyFill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1" fillId="5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77" fontId="1" fillId="6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topLeftCell="B3" workbookViewId="0">
      <selection activeCell="C15" sqref="C15"/>
    </sheetView>
  </sheetViews>
  <sheetFormatPr defaultColWidth="32.6826923076923" defaultRowHeight="35" customHeight="1" outlineLevelCol="6"/>
  <cols>
    <col min="1" max="1" width="32.6826923076923" style="1" customWidth="1"/>
    <col min="2" max="2" width="45.8365384615385" style="1" customWidth="1"/>
    <col min="3" max="16384" width="32.6826923076923" style="1" customWidth="1"/>
  </cols>
  <sheetData>
    <row r="1" ht="71" customHeight="1" spans="1:6">
      <c r="A1" s="2" t="s">
        <v>0</v>
      </c>
      <c r="B1" s="2"/>
      <c r="C1" s="2"/>
      <c r="D1" s="2"/>
      <c r="E1" s="4" t="s">
        <v>1</v>
      </c>
      <c r="F1" s="5"/>
    </row>
    <row r="2" ht="71" customHeight="1" spans="1:6">
      <c r="A2" s="2"/>
      <c r="B2" s="2"/>
      <c r="C2" s="2"/>
      <c r="D2" s="2"/>
      <c r="E2" s="6"/>
      <c r="F2" s="7"/>
    </row>
    <row r="3" ht="71" customHeight="1" spans="1:6">
      <c r="A3" s="2"/>
      <c r="B3" s="2"/>
      <c r="C3" s="2"/>
      <c r="D3" s="2"/>
      <c r="E3" s="8"/>
      <c r="F3" s="9"/>
    </row>
    <row r="4" customHeight="1" spans="1:6">
      <c r="A4" s="3" t="s">
        <v>2</v>
      </c>
      <c r="B4" s="3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customHeight="1" spans="1:7">
      <c r="A5" s="3" t="s">
        <v>8</v>
      </c>
      <c r="B5" s="1">
        <v>0.8</v>
      </c>
      <c r="C5" s="1">
        <v>0.99</v>
      </c>
      <c r="D5" s="1">
        <v>2</v>
      </c>
      <c r="E5" s="10">
        <f>B5/C5*D5</f>
        <v>1.61616161616162</v>
      </c>
      <c r="F5" s="1">
        <v>0.23</v>
      </c>
      <c r="G5" s="11">
        <f>F5*E5</f>
        <v>0.371717171717172</v>
      </c>
    </row>
    <row r="6" customHeight="1" spans="1:7">
      <c r="A6" s="3" t="s">
        <v>9</v>
      </c>
      <c r="B6" s="1">
        <v>0.5</v>
      </c>
      <c r="C6" s="1">
        <v>0.99</v>
      </c>
      <c r="D6" s="1">
        <v>2</v>
      </c>
      <c r="E6" s="10">
        <f t="shared" ref="E6:E14" si="0">B6/C6*D6</f>
        <v>1.01010101010101</v>
      </c>
      <c r="F6" s="1">
        <v>0.24</v>
      </c>
      <c r="G6" s="11">
        <f t="shared" ref="G6:G14" si="1">F6*E6</f>
        <v>0.242424242424242</v>
      </c>
    </row>
    <row r="7" customHeight="1" spans="1:7">
      <c r="A7" s="3" t="s">
        <v>10</v>
      </c>
      <c r="B7" s="1">
        <v>0.5</v>
      </c>
      <c r="C7" s="1">
        <v>0.99</v>
      </c>
      <c r="D7" s="1">
        <v>2</v>
      </c>
      <c r="E7" s="10">
        <f t="shared" si="0"/>
        <v>1.01010101010101</v>
      </c>
      <c r="F7" s="1">
        <v>0.22</v>
      </c>
      <c r="G7" s="11">
        <f t="shared" si="1"/>
        <v>0.222222222222222</v>
      </c>
    </row>
    <row r="8" customHeight="1" spans="1:7">
      <c r="A8" s="3" t="s">
        <v>11</v>
      </c>
      <c r="B8" s="1">
        <v>10</v>
      </c>
      <c r="C8" s="1">
        <v>0.99</v>
      </c>
      <c r="D8" s="1">
        <v>2</v>
      </c>
      <c r="E8" s="10">
        <f t="shared" si="0"/>
        <v>20.2020202020202</v>
      </c>
      <c r="F8" s="1">
        <v>0.023</v>
      </c>
      <c r="G8" s="11">
        <f t="shared" si="1"/>
        <v>0.464646464646465</v>
      </c>
    </row>
    <row r="9" customHeight="1" spans="1:7">
      <c r="A9" s="3" t="s">
        <v>12</v>
      </c>
      <c r="B9" s="1">
        <v>20</v>
      </c>
      <c r="C9" s="1">
        <v>0.99</v>
      </c>
      <c r="D9" s="1">
        <v>1.2</v>
      </c>
      <c r="E9" s="10">
        <f t="shared" si="0"/>
        <v>24.2424242424242</v>
      </c>
      <c r="F9" s="1">
        <v>0.068</v>
      </c>
      <c r="G9" s="11">
        <f t="shared" si="1"/>
        <v>1.64848484848485</v>
      </c>
    </row>
    <row r="10" customHeight="1" spans="1:7">
      <c r="A10" s="3" t="s">
        <v>13</v>
      </c>
      <c r="B10" s="1">
        <v>7</v>
      </c>
      <c r="C10" s="1">
        <v>0.99</v>
      </c>
      <c r="D10" s="1">
        <v>3</v>
      </c>
      <c r="E10" s="10">
        <f t="shared" si="0"/>
        <v>21.2121212121212</v>
      </c>
      <c r="F10" s="1">
        <v>0.205</v>
      </c>
      <c r="G10" s="11">
        <f t="shared" si="1"/>
        <v>4.34848484848485</v>
      </c>
    </row>
    <row r="11" customHeight="1" spans="1:7">
      <c r="A11" s="3" t="s">
        <v>14</v>
      </c>
      <c r="B11" s="1">
        <v>0.15</v>
      </c>
      <c r="C11" s="1">
        <v>0.99</v>
      </c>
      <c r="D11" s="1">
        <v>5</v>
      </c>
      <c r="E11" s="10">
        <f t="shared" si="0"/>
        <v>0.757575757575758</v>
      </c>
      <c r="F11" s="1">
        <v>1.48</v>
      </c>
      <c r="G11" s="11">
        <f t="shared" si="1"/>
        <v>1.12121212121212</v>
      </c>
    </row>
    <row r="12" customHeight="1" spans="1:7">
      <c r="A12" s="3" t="s">
        <v>15</v>
      </c>
      <c r="B12" s="1">
        <v>4</v>
      </c>
      <c r="C12" s="1">
        <v>0.99</v>
      </c>
      <c r="D12" s="1">
        <v>2</v>
      </c>
      <c r="E12" s="10">
        <f t="shared" si="0"/>
        <v>8.08080808080808</v>
      </c>
      <c r="F12" s="1">
        <v>0.019</v>
      </c>
      <c r="G12" s="11">
        <f t="shared" si="1"/>
        <v>0.153535353535354</v>
      </c>
    </row>
    <row r="13" customHeight="1" spans="1:7">
      <c r="A13" s="3" t="s">
        <v>16</v>
      </c>
      <c r="B13" s="1">
        <v>1</v>
      </c>
      <c r="C13" s="1">
        <v>0.99</v>
      </c>
      <c r="D13" s="1">
        <v>5</v>
      </c>
      <c r="E13" s="10">
        <f t="shared" si="0"/>
        <v>5.05050505050505</v>
      </c>
      <c r="F13" s="1">
        <v>0.2</v>
      </c>
      <c r="G13" s="11">
        <f t="shared" si="1"/>
        <v>1.01010101010101</v>
      </c>
    </row>
    <row r="14" customHeight="1" spans="1:7">
      <c r="A14" s="3" t="s">
        <v>17</v>
      </c>
      <c r="B14" s="1">
        <v>0.1</v>
      </c>
      <c r="C14" s="1">
        <v>0.99</v>
      </c>
      <c r="D14" s="1">
        <v>2</v>
      </c>
      <c r="E14" s="10">
        <f t="shared" si="0"/>
        <v>0.202020202020202</v>
      </c>
      <c r="F14" s="1">
        <v>0.3</v>
      </c>
      <c r="G14" s="11">
        <f t="shared" si="1"/>
        <v>0.0606060606060606</v>
      </c>
    </row>
    <row r="15" customHeight="1" spans="7:7">
      <c r="G15" s="12">
        <f>SUM(G5:G14)</f>
        <v>9.64343434343434</v>
      </c>
    </row>
    <row r="16" customHeight="1" spans="5:6">
      <c r="E16" s="1" t="s">
        <v>18</v>
      </c>
      <c r="F16" s="13">
        <v>16.5</v>
      </c>
    </row>
    <row r="17" customHeight="1" spans="5:6">
      <c r="E17" s="1" t="s">
        <v>19</v>
      </c>
      <c r="F17" s="14">
        <f>F16+G15</f>
        <v>26.1434343434343</v>
      </c>
    </row>
  </sheetData>
  <mergeCells count="2">
    <mergeCell ref="A1:D3"/>
    <mergeCell ref="E1:F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Charm Blue</cp:lastModifiedBy>
  <dcterms:created xsi:type="dcterms:W3CDTF">2026-06-25T09:46:00Z</dcterms:created>
  <dcterms:modified xsi:type="dcterms:W3CDTF">2026-06-25T14:25:25Z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3B67386D17C3AB87D5C93C6A7CC231A4_43</vt:lpwstr>
  </property>
</Properties>
</file>